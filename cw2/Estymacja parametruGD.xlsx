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489000\Desktop\"/>
    </mc:Choice>
  </mc:AlternateContent>
  <xr:revisionPtr revIDLastSave="0" documentId="8_{94744469-FEDE-411F-AAEB-598E5E036D19}" xr6:coauthVersionLast="47" xr6:coauthVersionMax="47" xr10:uidLastSave="{00000000-0000-0000-0000-000000000000}"/>
  <bookViews>
    <workbookView xWindow="-120" yWindow="-120" windowWidth="29040" windowHeight="15720" xr2:uid="{00F43688-B845-4C27-AD58-8FB82D71A6BD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11" i="1" s="1"/>
  <c r="E1" i="1" s="1"/>
  <c r="D8" i="1"/>
  <c r="C8" i="1"/>
  <c r="D7" i="1"/>
  <c r="C7" i="1"/>
  <c r="D6" i="1"/>
  <c r="C6" i="1"/>
  <c r="D5" i="1"/>
  <c r="C5" i="1"/>
  <c r="D4" i="1"/>
  <c r="C4" i="1"/>
  <c r="D3" i="1"/>
  <c r="C3" i="1"/>
  <c r="C9" i="1" s="1"/>
  <c r="E7" i="1" l="1"/>
  <c r="E5" i="1"/>
  <c r="E3" i="1"/>
  <c r="E8" i="1"/>
  <c r="E4" i="1"/>
  <c r="E6" i="1"/>
  <c r="E9" i="1" l="1"/>
  <c r="E11" i="1" s="1"/>
  <c r="F1" i="1" s="1"/>
  <c r="F3" i="1" l="1"/>
  <c r="F7" i="1"/>
  <c r="F5" i="1"/>
  <c r="F8" i="1"/>
  <c r="F6" i="1"/>
  <c r="F4" i="1"/>
  <c r="F9" i="1" l="1"/>
  <c r="F11" i="1" s="1"/>
  <c r="G1" i="1" s="1"/>
  <c r="G5" i="1" l="1"/>
  <c r="G3" i="1"/>
  <c r="G7" i="1"/>
  <c r="G8" i="1"/>
  <c r="G6" i="1"/>
  <c r="G4" i="1"/>
  <c r="G9" i="1" l="1"/>
  <c r="G11" i="1" s="1"/>
  <c r="H1" i="1" s="1"/>
  <c r="H8" i="1" l="1"/>
  <c r="H6" i="1"/>
  <c r="H7" i="1"/>
  <c r="H5" i="1"/>
  <c r="H3" i="1"/>
  <c r="H4" i="1"/>
  <c r="H9" i="1" l="1"/>
  <c r="H11" i="1" s="1"/>
  <c r="I1" i="1" s="1"/>
  <c r="I3" i="1" l="1"/>
  <c r="I6" i="1"/>
  <c r="I4" i="1"/>
  <c r="I7" i="1"/>
  <c r="I8" i="1"/>
  <c r="I5" i="1"/>
  <c r="I9" i="1" l="1"/>
  <c r="I11" i="1" s="1"/>
</calcChain>
</file>

<file path=xl/sharedStrings.xml><?xml version="1.0" encoding="utf-8"?>
<sst xmlns="http://schemas.openxmlformats.org/spreadsheetml/2006/main" count="13" uniqueCount="13">
  <si>
    <t>b0=0</t>
  </si>
  <si>
    <t>b=0</t>
  </si>
  <si>
    <t>x</t>
  </si>
  <si>
    <t>y</t>
  </si>
  <si>
    <t>Suma</t>
  </si>
  <si>
    <t>SSR</t>
  </si>
  <si>
    <t>pochodna SSR</t>
  </si>
  <si>
    <t>Krok2</t>
  </si>
  <si>
    <t>Krok3</t>
  </si>
  <si>
    <t>Krok4</t>
  </si>
  <si>
    <t>Krok5</t>
  </si>
  <si>
    <t>Krok6</t>
  </si>
  <si>
    <t>LR=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</si>
</sst>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93750490491014"/>
          <c:y val="5.0926074240719911E-2"/>
          <c:w val="0.82308573928258966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810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2342336240228036E-2"/>
                  <c:y val="2.834791484397783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0.8x + 1.5333</a:t>
                    </a:r>
                    <a:endParaRPr lang="en-US" sz="11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'[1]Reg param (GD) (3)'!$A$3:$A$8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</c:numCache>
            </c:numRef>
          </c:xVal>
          <c:yVal>
            <c:numRef>
              <c:f>'[1]Reg param (GD) (3)'!$B$3:$B$8</c:f>
              <c:numCache>
                <c:formatCode>General</c:formatCode>
                <c:ptCount val="6"/>
                <c:pt idx="0">
                  <c:v>1.2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7F-4E30-8758-5BF479AF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744816"/>
        <c:axId val="441742464"/>
      </c:scatterChart>
      <c:valAx>
        <c:axId val="44174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42464"/>
        <c:crosses val="autoZero"/>
        <c:crossBetween val="midCat"/>
      </c:valAx>
      <c:valAx>
        <c:axId val="4417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74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307732</xdr:colOff>
      <xdr:row>12</xdr:row>
      <xdr:rowOff>135304</xdr:rowOff>
    </xdr:from>
    <xdr:to>
      <xdr:col>9</xdr:col>
      <xdr:colOff>0</xdr:colOff>
      <xdr:row>28</xdr:row>
      <xdr:rowOff>68629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CB37579-E823-4DB8-9212-105E69D75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489000/Downloads/Spadek_Gradientow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 param (GD) (3)"/>
      <sheetName val="Reg param (GD) (2)"/>
      <sheetName val="Reg param (GD)"/>
      <sheetName val="Regresja wyznaczanie param"/>
      <sheetName val="Regresja1"/>
    </sheetNames>
    <sheetDataSet>
      <sheetData sheetId="0">
        <row r="3">
          <cell r="A3">
            <v>0</v>
          </cell>
          <cell r="B3">
            <v>1.2</v>
          </cell>
        </row>
        <row r="4">
          <cell r="A4">
            <v>1</v>
          </cell>
          <cell r="B4">
            <v>2</v>
          </cell>
        </row>
        <row r="5">
          <cell r="A5">
            <v>3</v>
          </cell>
          <cell r="B5">
            <v>6</v>
          </cell>
        </row>
        <row r="6">
          <cell r="A6">
            <v>2</v>
          </cell>
          <cell r="B6">
            <v>3</v>
          </cell>
        </row>
        <row r="7">
          <cell r="A7">
            <v>5</v>
          </cell>
          <cell r="B7">
            <v>5</v>
          </cell>
        </row>
        <row r="8">
          <cell r="A8">
            <v>4</v>
          </cell>
          <cell r="B8">
            <v>4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86A7-A49E-40DA-A820-505DFAA0D8B2}">
  <dimension ref="A1:I11"/>
  <sheetViews>
    <sheetView tabSelected="1" workbookViewId="0">
      <selection activeCell="F6" sqref="F6"/>
    </sheetView>
  </sheetViews>
  <sheetFormatPr defaultRowHeight="15" x14ac:dyDescent="0.25"/>
  <cols>
    <col min="4" max="4" width="12.7109375" customWidth="1"/>
    <col min="5" max="5" width="12.42578125" customWidth="1"/>
    <col min="6" max="6" width="9" customWidth="1"/>
    <col min="7" max="8" width="6.85546875" customWidth="1"/>
  </cols>
  <sheetData>
    <row r="1" spans="1:9" x14ac:dyDescent="0.25">
      <c r="B1" t="s">
        <v>0</v>
      </c>
      <c r="C1" s="1" t="s">
        <v>1</v>
      </c>
      <c r="D1" s="1">
        <v>0</v>
      </c>
      <c r="E1" s="2">
        <f>D1-D11</f>
        <v>1.8399999999999999</v>
      </c>
      <c r="F1" s="3">
        <f>E1-E11</f>
        <v>1.472</v>
      </c>
      <c r="G1" s="4">
        <f>F1-F11</f>
        <v>1.5455999999999999</v>
      </c>
      <c r="H1" s="3">
        <f>G1-G11</f>
        <v>1.5308799999999998</v>
      </c>
      <c r="I1" s="3">
        <f>H1-H11</f>
        <v>1.5338239999999999</v>
      </c>
    </row>
    <row r="2" spans="1:9" x14ac:dyDescent="0.25">
      <c r="A2" s="1" t="s">
        <v>2</v>
      </c>
      <c r="B2" s="1" t="s">
        <v>3</v>
      </c>
      <c r="C2" s="5">
        <v>0.8</v>
      </c>
      <c r="D2" s="5">
        <v>0.8</v>
      </c>
      <c r="E2" s="5">
        <v>0.8</v>
      </c>
      <c r="F2" s="5">
        <v>0.8</v>
      </c>
      <c r="G2" s="5">
        <v>0.8</v>
      </c>
      <c r="H2" s="5">
        <v>0.8</v>
      </c>
      <c r="I2" s="5">
        <v>0.8</v>
      </c>
    </row>
    <row r="3" spans="1:9" x14ac:dyDescent="0.25">
      <c r="A3" s="1">
        <v>0</v>
      </c>
      <c r="B3" s="1">
        <v>1.2</v>
      </c>
      <c r="C3">
        <f>($B3-C$2*$A3-0)^2</f>
        <v>1.44</v>
      </c>
      <c r="D3">
        <f>(-2)*($B3-D$2*$A3-0)</f>
        <v>-2.4</v>
      </c>
      <c r="E3">
        <f>-2*($B3-E$2*$A3-E$1)</f>
        <v>1.2799999999999998</v>
      </c>
      <c r="F3">
        <f t="shared" ref="F3:I3" si="0">-2*($B3-F$2*$A3-F$1)</f>
        <v>0.54400000000000004</v>
      </c>
      <c r="G3">
        <f t="shared" si="0"/>
        <v>0.69119999999999981</v>
      </c>
      <c r="H3">
        <f t="shared" si="0"/>
        <v>0.66175999999999968</v>
      </c>
      <c r="I3">
        <f t="shared" si="0"/>
        <v>0.6676479999999998</v>
      </c>
    </row>
    <row r="4" spans="1:9" x14ac:dyDescent="0.25">
      <c r="A4" s="1">
        <v>1</v>
      </c>
      <c r="B4" s="1">
        <v>2</v>
      </c>
      <c r="C4">
        <f t="shared" ref="C4:C7" si="1">($B4-C$2*$A4-4)^2</f>
        <v>7.839999999999999</v>
      </c>
      <c r="D4">
        <f t="shared" ref="D4:D8" si="2">(-2)*($B4-D$2*$A4-0)</f>
        <v>-2.4</v>
      </c>
      <c r="E4">
        <f t="shared" ref="E4:I8" si="3">-2*($B4-E$2*$A4-E$1)</f>
        <v>1.2799999999999998</v>
      </c>
      <c r="F4">
        <f t="shared" si="3"/>
        <v>0.54400000000000004</v>
      </c>
      <c r="G4">
        <f t="shared" si="3"/>
        <v>0.69119999999999981</v>
      </c>
      <c r="H4">
        <f t="shared" si="3"/>
        <v>0.66175999999999968</v>
      </c>
      <c r="I4">
        <f t="shared" si="3"/>
        <v>0.6676479999999998</v>
      </c>
    </row>
    <row r="5" spans="1:9" x14ac:dyDescent="0.25">
      <c r="A5" s="1">
        <v>3</v>
      </c>
      <c r="B5" s="1">
        <v>6</v>
      </c>
      <c r="C5">
        <f t="shared" si="1"/>
        <v>0.16000000000000028</v>
      </c>
      <c r="D5">
        <f t="shared" si="2"/>
        <v>-7.1999999999999993</v>
      </c>
      <c r="E5">
        <f t="shared" si="3"/>
        <v>-3.5199999999999996</v>
      </c>
      <c r="F5">
        <f t="shared" si="3"/>
        <v>-4.2559999999999993</v>
      </c>
      <c r="G5">
        <f t="shared" si="3"/>
        <v>-4.1087999999999996</v>
      </c>
      <c r="H5">
        <f t="shared" si="3"/>
        <v>-4.1382399999999997</v>
      </c>
      <c r="I5">
        <f t="shared" si="3"/>
        <v>-4.1323519999999991</v>
      </c>
    </row>
    <row r="6" spans="1:9" x14ac:dyDescent="0.25">
      <c r="A6" s="1">
        <v>2</v>
      </c>
      <c r="B6" s="1">
        <v>3</v>
      </c>
      <c r="C6">
        <f t="shared" si="1"/>
        <v>6.7600000000000007</v>
      </c>
      <c r="D6">
        <f t="shared" si="2"/>
        <v>-2.8</v>
      </c>
      <c r="E6">
        <f t="shared" si="3"/>
        <v>0.87999999999999989</v>
      </c>
      <c r="F6">
        <f t="shared" si="3"/>
        <v>0.14400000000000013</v>
      </c>
      <c r="G6">
        <f t="shared" si="3"/>
        <v>0.2911999999999999</v>
      </c>
      <c r="H6">
        <f t="shared" si="3"/>
        <v>0.26175999999999977</v>
      </c>
      <c r="I6">
        <f t="shared" si="3"/>
        <v>0.26764799999999989</v>
      </c>
    </row>
    <row r="7" spans="1:9" x14ac:dyDescent="0.25">
      <c r="A7" s="1">
        <v>5</v>
      </c>
      <c r="B7" s="1">
        <v>5</v>
      </c>
      <c r="C7">
        <f t="shared" si="1"/>
        <v>9</v>
      </c>
      <c r="D7">
        <f t="shared" si="2"/>
        <v>-2</v>
      </c>
      <c r="E7">
        <f t="shared" si="3"/>
        <v>1.6799999999999997</v>
      </c>
      <c r="F7">
        <f t="shared" si="3"/>
        <v>0.94399999999999995</v>
      </c>
      <c r="G7">
        <f t="shared" si="3"/>
        <v>1.0911999999999997</v>
      </c>
      <c r="H7">
        <f t="shared" si="3"/>
        <v>1.0617599999999996</v>
      </c>
      <c r="I7">
        <f t="shared" si="3"/>
        <v>1.0676479999999997</v>
      </c>
    </row>
    <row r="8" spans="1:9" x14ac:dyDescent="0.25">
      <c r="A8" s="1">
        <v>4</v>
      </c>
      <c r="B8" s="1">
        <v>4</v>
      </c>
      <c r="C8">
        <f>($B8-C$2*$A8-4)^2</f>
        <v>10.240000000000002</v>
      </c>
      <c r="D8">
        <f t="shared" si="2"/>
        <v>-1.5999999999999996</v>
      </c>
      <c r="E8">
        <f t="shared" si="3"/>
        <v>2.08</v>
      </c>
      <c r="F8">
        <f t="shared" si="3"/>
        <v>1.3440000000000003</v>
      </c>
      <c r="G8">
        <f t="shared" si="3"/>
        <v>1.4912000000000001</v>
      </c>
      <c r="H8">
        <f t="shared" si="3"/>
        <v>1.4617599999999999</v>
      </c>
      <c r="I8">
        <f t="shared" si="3"/>
        <v>1.4676480000000001</v>
      </c>
    </row>
    <row r="9" spans="1:9" x14ac:dyDescent="0.25">
      <c r="B9" s="6" t="s">
        <v>4</v>
      </c>
      <c r="C9" s="6">
        <f>SUM(C3:C8)</f>
        <v>35.44</v>
      </c>
      <c r="D9" s="6">
        <f>SUM(D3:D8)</f>
        <v>-18.399999999999999</v>
      </c>
      <c r="E9" s="6">
        <f t="shared" ref="E9:I9" si="4">SUM(E3:E8)</f>
        <v>3.6799999999999997</v>
      </c>
      <c r="F9" s="6">
        <f t="shared" si="4"/>
        <v>-0.73599999999999888</v>
      </c>
      <c r="G9" s="6">
        <f t="shared" si="4"/>
        <v>0.14719999999999978</v>
      </c>
      <c r="H9" s="6">
        <f t="shared" si="4"/>
        <v>-2.9440000000001021E-2</v>
      </c>
      <c r="I9" s="6">
        <f t="shared" si="4"/>
        <v>5.8880000000001154E-3</v>
      </c>
    </row>
    <row r="10" spans="1:9" x14ac:dyDescent="0.25">
      <c r="C10" t="s">
        <v>5</v>
      </c>
      <c r="D10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</row>
    <row r="11" spans="1:9" x14ac:dyDescent="0.25">
      <c r="B11" s="7" t="s">
        <v>12</v>
      </c>
      <c r="C11" s="8">
        <v>0.1</v>
      </c>
      <c r="D11">
        <f>$C$11*D9</f>
        <v>-1.8399999999999999</v>
      </c>
      <c r="E11">
        <f t="shared" ref="E11:I11" si="5">$C$11*E9</f>
        <v>0.36799999999999999</v>
      </c>
      <c r="F11">
        <f t="shared" si="5"/>
        <v>-7.3599999999999888E-2</v>
      </c>
      <c r="G11">
        <f t="shared" si="5"/>
        <v>1.4719999999999978E-2</v>
      </c>
      <c r="H11">
        <f t="shared" si="5"/>
        <v>-2.9440000000001024E-3</v>
      </c>
      <c r="I11">
        <f t="shared" si="5"/>
        <v>5.888000000000116E-4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Urszula Grzybowska</dc:creator>
  <cp:lastModifiedBy>Urszula Grzybowska</cp:lastModifiedBy>
  <dcterms:created xsi:type="dcterms:W3CDTF">2026-03-09T10:28:16Z</dcterms:created>
  <dcterms:modified xsi:type="dcterms:W3CDTF">2026-03-09T10:28:54Z</dcterms:modified>
</cp:coreProperties>
</file>